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jay\Downloads\ERW assignment\"/>
    </mc:Choice>
  </mc:AlternateContent>
  <xr:revisionPtr revIDLastSave="0" documentId="13_ncr:1_{D09E2019-D96F-4893-A0E2-79F09CEFD9A8}" xr6:coauthVersionLast="47" xr6:coauthVersionMax="47" xr10:uidLastSave="{00000000-0000-0000-0000-000000000000}"/>
  <bookViews>
    <workbookView xWindow="-120" yWindow="-120" windowWidth="25440" windowHeight="15270" tabRatio="500" xr2:uid="{00000000-000D-0000-FFFF-FFFF00000000}"/>
  </bookViews>
  <sheets>
    <sheet name="ERW Financial Model" sheetId="1" r:id="rId1"/>
  </sheets>
  <definedNames>
    <definedName name="_xlnm.Print_Area" localSheetId="0">'ERW Financial Model'!$A$2:$I$71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8" i="1" l="1"/>
  <c r="G48" i="1"/>
  <c r="F48" i="1"/>
  <c r="E48" i="1"/>
  <c r="D48" i="1"/>
  <c r="C48" i="1"/>
  <c r="H47" i="1"/>
  <c r="F47" i="1"/>
  <c r="D47" i="1"/>
  <c r="H46" i="1"/>
  <c r="G46" i="1"/>
  <c r="F46" i="1"/>
  <c r="E46" i="1"/>
  <c r="D46" i="1"/>
  <c r="C43" i="1"/>
  <c r="I42" i="1"/>
  <c r="C42" i="1"/>
  <c r="C40" i="1"/>
  <c r="C22" i="1"/>
  <c r="C15" i="1"/>
  <c r="C12" i="1"/>
  <c r="C11" i="1"/>
  <c r="F45" i="1" l="1"/>
  <c r="H45" i="1"/>
  <c r="G45" i="1"/>
  <c r="C45" i="1"/>
  <c r="E45" i="1"/>
  <c r="D45" i="1"/>
  <c r="C44" i="1"/>
  <c r="I44" i="1" s="1"/>
  <c r="C17" i="1"/>
  <c r="C19" i="1" s="1"/>
  <c r="I46" i="1"/>
  <c r="C58" i="1"/>
  <c r="C55" i="1"/>
  <c r="H49" i="1"/>
  <c r="G49" i="1"/>
  <c r="F49" i="1"/>
  <c r="E49" i="1"/>
  <c r="D49" i="1"/>
  <c r="C60" i="1" s="1"/>
  <c r="C49" i="1"/>
  <c r="I48" i="1"/>
  <c r="I47" i="1"/>
  <c r="I45" i="1"/>
  <c r="I43" i="1"/>
  <c r="D38" i="1" l="1"/>
  <c r="E38" i="1"/>
  <c r="F38" i="1"/>
  <c r="G38" i="1"/>
  <c r="H38" i="1"/>
  <c r="I49" i="1"/>
  <c r="C51" i="1"/>
  <c r="I38" i="1" l="1"/>
  <c r="D39" i="1"/>
  <c r="D40" i="1"/>
  <c r="E39" i="1"/>
  <c r="F39" i="1"/>
  <c r="G39" i="1"/>
  <c r="G40" i="1"/>
  <c r="G51" i="1" s="1"/>
  <c r="H39" i="1"/>
  <c r="C52" i="1"/>
  <c r="D51" i="1" l="1"/>
  <c r="C56" i="1"/>
  <c r="C59" i="1"/>
  <c r="E40" i="1"/>
  <c r="E51" i="1" s="1"/>
  <c r="F40" i="1"/>
  <c r="F51" i="1" s="1"/>
  <c r="H40" i="1"/>
  <c r="H51" i="1" s="1"/>
  <c r="I39" i="1"/>
  <c r="D52" i="1" l="1"/>
  <c r="E52" i="1" s="1"/>
  <c r="F52" i="1" s="1"/>
  <c r="G52" i="1" s="1"/>
  <c r="H52" i="1" s="1"/>
  <c r="C65" i="1"/>
  <c r="I51" i="1"/>
  <c r="C63" i="1"/>
  <c r="I40" i="1"/>
  <c r="C57" i="1" s="1"/>
  <c r="C66" i="1" l="1"/>
  <c r="C68" i="1"/>
  <c r="C67" i="1"/>
</calcChain>
</file>

<file path=xl/sharedStrings.xml><?xml version="1.0" encoding="utf-8"?>
<sst xmlns="http://schemas.openxmlformats.org/spreadsheetml/2006/main" count="157" uniqueCount="139">
  <si>
    <t>ENHANCED ROCK WEATHERING (ERW) — FINANCIAL MODEL &amp; CASH FLOW</t>
  </si>
  <si>
    <t>A.  KEY ASSUMPTIONS</t>
  </si>
  <si>
    <t>Metric</t>
  </si>
  <si>
    <t>Unit</t>
  </si>
  <si>
    <t>Value / Input</t>
  </si>
  <si>
    <t>Formula / Logic</t>
  </si>
  <si>
    <t>── Physical Parameters ──</t>
  </si>
  <si>
    <t>Rock Applied</t>
  </si>
  <si>
    <t>MT</t>
  </si>
  <si>
    <t>Deployment target (hardcoded input)</t>
  </si>
  <si>
    <t>Application Area</t>
  </si>
  <si>
    <t>ha</t>
  </si>
  <si>
    <t>Area covered</t>
  </si>
  <si>
    <t>Hectare→Acre Conversion</t>
  </si>
  <si>
    <t>acre/ha</t>
  </si>
  <si>
    <t>Standard conversion</t>
  </si>
  <si>
    <t>Application Rate (calc)</t>
  </si>
  <si>
    <t>MT/ha</t>
  </si>
  <si>
    <t>Formula: Rock Applied / Application Area</t>
  </si>
  <si>
    <t>Application Area in Acres</t>
  </si>
  <si>
    <t>acres</t>
  </si>
  <si>
    <t>Formula: ha x acre/ha conversion</t>
  </si>
  <si>
    <t>── Carbon / Credit Parameters ──</t>
  </si>
  <si>
    <t>CO₂ Removal Factor</t>
  </si>
  <si>
    <t>tCO₂e/MT rock</t>
  </si>
  <si>
    <t>Placeholder — replace after MRV</t>
  </si>
  <si>
    <t>Gross CO₂ Removed</t>
  </si>
  <si>
    <t>tCO₂e</t>
  </si>
  <si>
    <t>Formula: Rock x CO2 removal factor</t>
  </si>
  <si>
    <t>Total Deductions (leakage+buffer)</t>
  </si>
  <si>
    <t>% of gross</t>
  </si>
  <si>
    <t>Leakage + buffer + uncertainty</t>
  </si>
  <si>
    <t>Net CO₂ After Deductions</t>
  </si>
  <si>
    <t>Formula: Gross CO2 x (1 − deductions)</t>
  </si>
  <si>
    <t>Issuance Success Rate</t>
  </si>
  <si>
    <t>%</t>
  </si>
  <si>
    <t>Early-stage credit issuance risk</t>
  </si>
  <si>
    <t>Credits Issued</t>
  </si>
  <si>
    <t>Formula: Net CO2 x issuance success rate</t>
  </si>
  <si>
    <t>Carbon Credit Price</t>
  </si>
  <si>
    <t>$/tCO₂e</t>
  </si>
  <si>
    <t>Midpoint of $270–$500 range</t>
  </si>
  <si>
    <t>Exchange Rate</t>
  </si>
  <si>
    <t>₹/$</t>
  </si>
  <si>
    <t>Planning assumption</t>
  </si>
  <si>
    <t>₹/tCO₂e</t>
  </si>
  <si>
    <t>Formula: USD price x exchange rate</t>
  </si>
  <si>
    <t>── Cost Parameters ──</t>
  </si>
  <si>
    <t>Landed Rock Cost</t>
  </si>
  <si>
    <t>₹/MT</t>
  </si>
  <si>
    <t>Calculated landed cost (report)</t>
  </si>
  <si>
    <t>Spreading Cost</t>
  </si>
  <si>
    <t>Contractor placeholder</t>
  </si>
  <si>
    <t>Payment to Farmer</t>
  </si>
  <si>
    <t>₹/acre</t>
  </si>
  <si>
    <t>Midpoint ₹500–₹1,000/acre</t>
  </si>
  <si>
    <t>Sample Testing Cost</t>
  </si>
  <si>
    <t>₹/sample</t>
  </si>
  <si>
    <t>Lab analysis per sample</t>
  </si>
  <si>
    <t>Sample Collection Cost</t>
  </si>
  <si>
    <t>Field collection per sample</t>
  </si>
  <si>
    <t>Samples per Year (density)</t>
  </si>
  <si>
    <t>per acre</t>
  </si>
  <si>
    <t>Monitoring intensity</t>
  </si>
  <si>
    <t>MRV Cost (annual base)</t>
  </si>
  <si>
    <t>₹/year</t>
  </si>
  <si>
    <t>Docs/testing/data analysis</t>
  </si>
  <si>
    <t>Verification Cost</t>
  </si>
  <si>
    <t>₹/cycle</t>
  </si>
  <si>
    <t>Third-party verification placeholder</t>
  </si>
  <si>
    <t>Admin / Team Cost</t>
  </si>
  <si>
    <t>Pilot team &amp; admin allowance</t>
  </si>
  <si>
    <t>Sales/Registry/Broker Fees</t>
  </si>
  <si>
    <t>% of revenue</t>
  </si>
  <si>
    <t>2% registry + 5% broker + 2% marketplace</t>
  </si>
  <si>
    <t>B.  5-YEAR CASH FLOW MODEL</t>
  </si>
  <si>
    <t>Line Item</t>
  </si>
  <si>
    <t>Notes</t>
  </si>
  <si>
    <t>Year 0
(Setup)</t>
  </si>
  <si>
    <t>Year 1</t>
  </si>
  <si>
    <t>Year 2</t>
  </si>
  <si>
    <t>Year 3</t>
  </si>
  <si>
    <t>Year 4</t>
  </si>
  <si>
    <t>Year 5</t>
  </si>
  <si>
    <t>Total</t>
  </si>
  <si>
    <t>REVENUE</t>
  </si>
  <si>
    <t>Gross Carbon Revenue</t>
  </si>
  <si>
    <t>Credits Issued × Credit Price (₹)</t>
  </si>
  <si>
    <t>Less: Sales / Registry / Broker Fees</t>
  </si>
  <si>
    <t>9.0% x Gross Revenue (fees)</t>
  </si>
  <si>
    <t>NET REVENUE</t>
  </si>
  <si>
    <t>Gross Revenue + Fees</t>
  </si>
  <si>
    <t>COSTS</t>
  </si>
  <si>
    <t>Rock Material Cost</t>
  </si>
  <si>
    <t>Rock Applied × Landed Rock Cost</t>
  </si>
  <si>
    <t>Rock Applied × Spreading Cost/MT</t>
  </si>
  <si>
    <t>Farmer Application Fee</t>
  </si>
  <si>
    <t>Application Area (acres) × ₹/acre</t>
  </si>
  <si>
    <t>Sampling Costs</t>
  </si>
  <si>
    <t>Acres × Samples/acre × (Testing + Collection)</t>
  </si>
  <si>
    <t>MRV Cost (Annual)</t>
  </si>
  <si>
    <t>Fixed annual cost</t>
  </si>
  <si>
    <t>Every 2 years (Yr 1, 3, 5)</t>
  </si>
  <si>
    <t>Annual fixed</t>
  </si>
  <si>
    <t>TOTAL COSTS</t>
  </si>
  <si>
    <t>Sum of all cost lines</t>
  </si>
  <si>
    <t>NET CASH FLOW (₹)</t>
  </si>
  <si>
    <t>Net Revenue − Total Costs</t>
  </si>
  <si>
    <t>Cumulative Cash Flow (₹)</t>
  </si>
  <si>
    <t>Running total</t>
  </si>
  <si>
    <t>C.  UNIT ECONOMICS &amp; KEY METRICS</t>
  </si>
  <si>
    <t>Gross Revenue per tCO₂e Removed</t>
  </si>
  <si>
    <t>₹</t>
  </si>
  <si>
    <t>Formula: Credit price in INR (from assumptions)</t>
  </si>
  <si>
    <t>Net Revenue per tCO₂e (Year 1)</t>
  </si>
  <si>
    <t>Formula: Year 1 Net Revenue / Credits Issued</t>
  </si>
  <si>
    <t>All-in Cost per tCO₂e (Total ÷ 5yr Credits)</t>
  </si>
  <si>
    <t>Formula: Total costs / total credits sold (5yr)</t>
  </si>
  <si>
    <t>Total Rock Cost per tCO₂e</t>
  </si>
  <si>
    <t>Formula: (Rock+Spread cost) / Gross CO2 removed</t>
  </si>
  <si>
    <t>Gross Margin (Year 1)</t>
  </si>
  <si>
    <t>Formula: (Net Rev - Cost) / Gross Revenue, Year 1</t>
  </si>
  <si>
    <t>Breakeven Credit Price (Year 1)</t>
  </si>
  <si>
    <t>Formula: Year 1 Costs / net credits after fees</t>
  </si>
  <si>
    <t>D.  RETURN METRICS — IRR &amp; NPV</t>
  </si>
  <si>
    <t>Internal Rate of Return (IRR)</t>
  </si>
  <si>
    <t>5-Year IRR on cash flows (Yr 0 = initial outlay)</t>
  </si>
  <si>
    <t>Discount Rate (WACC)</t>
  </si>
  <si>
    <t>Input — cost of capital assumption</t>
  </si>
  <si>
    <t>Net Present Value (NPV)</t>
  </si>
  <si>
    <t>Formula: Year 0 outflow + NPV of Years 1-5 at WACC</t>
  </si>
  <si>
    <t>Payback Period (approx.)</t>
  </si>
  <si>
    <t>Years</t>
  </si>
  <si>
    <t>Year when cumulative cash flow first turns positive</t>
  </si>
  <si>
    <t>Total 5-Year Net Profit</t>
  </si>
  <si>
    <t>Sum of all net cash flows Years 0 to 5</t>
  </si>
  <si>
    <t>5-Year ROI</t>
  </si>
  <si>
    <t>Total Net Profit / Initial Investment (Year 0 outflow)</t>
  </si>
  <si>
    <t xml:space="preserve">All monetary values in Indian Rupees (₹)  5-Year Projection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</si>
</sst>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;\(#,##0.0\);\-"/>
    <numFmt numFmtId="165" formatCode="0.00000"/>
    <numFmt numFmtId="166" formatCode="0.0%;\(0.0%\);\-"/>
    <numFmt numFmtId="167" formatCode="\₹#,##0;&quot;(₹&quot;#,##0\);\-"/>
    <numFmt numFmtId="168" formatCode="0.0%"/>
    <numFmt numFmtId="169" formatCode="0&quot; yrs&quot;"/>
  </numFmts>
  <fonts count="16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i/>
      <sz val="9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i/>
      <sz val="11"/>
      <color rgb="FF000000"/>
      <name val="Arial"/>
      <family val="2"/>
    </font>
    <font>
      <i/>
      <sz val="9"/>
      <color rgb="FF555555"/>
      <name val="Arial"/>
      <family val="2"/>
    </font>
    <font>
      <i/>
      <sz val="9"/>
      <color rgb="FF000000"/>
      <name val="Arial"/>
      <family val="2"/>
    </font>
    <font>
      <i/>
      <sz val="9"/>
      <color rgb="FF7F3F00"/>
      <name val="Arial"/>
      <family val="2"/>
    </font>
    <font>
      <b/>
      <sz val="11"/>
      <name val="Arial"/>
      <family val="2"/>
    </font>
    <font>
      <i/>
      <sz val="9"/>
      <name val="Arial"/>
      <family val="2"/>
    </font>
    <font>
      <b/>
      <sz val="14"/>
      <name val="Arial"/>
      <family val="2"/>
    </font>
    <font>
      <sz val="11"/>
      <name val="Calibri"/>
      <family val="2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9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0B3D2E"/>
        <bgColor rgb="FF333399"/>
      </patternFill>
    </fill>
    <fill>
      <patternFill patternType="solid">
        <fgColor rgb="FF124A23"/>
        <bgColor rgb="FF333399"/>
      </patternFill>
    </fill>
    <fill>
      <patternFill patternType="solid">
        <fgColor rgb="FF00F26D"/>
        <bgColor rgb="FF555555"/>
      </patternFill>
    </fill>
    <fill>
      <patternFill patternType="solid">
        <fgColor rgb="FF0B3D2E"/>
        <bgColor rgb="FF0066CC"/>
      </patternFill>
    </fill>
    <fill>
      <patternFill patternType="solid">
        <fgColor rgb="FF0B3D2E"/>
        <bgColor indexed="64"/>
      </patternFill>
    </fill>
    <fill>
      <patternFill patternType="solid">
        <fgColor rgb="FF124A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rgb="FFE2EFDA"/>
      </patternFill>
    </fill>
    <fill>
      <patternFill patternType="solid">
        <fgColor theme="6" tint="0.79998168889431442"/>
        <bgColor rgb="FFD6E4F0"/>
      </patternFill>
    </fill>
    <fill>
      <patternFill patternType="solid">
        <fgColor theme="6" tint="0.39997558519241921"/>
        <bgColor rgb="FFD6E4F0"/>
      </patternFill>
    </fill>
    <fill>
      <patternFill patternType="solid">
        <fgColor theme="6" tint="0.79998168889431442"/>
        <bgColor rgb="FFFFF2CC"/>
      </patternFill>
    </fill>
    <fill>
      <patternFill patternType="solid">
        <fgColor theme="6" tint="0.39997558519241921"/>
        <bgColor rgb="FFFFF2CC"/>
      </patternFill>
    </fill>
    <fill>
      <patternFill patternType="solid">
        <fgColor rgb="FF124A23"/>
        <bgColor rgb="FF0066CC"/>
      </patternFill>
    </fill>
    <fill>
      <patternFill patternType="solid">
        <fgColor theme="6" tint="-0.249977111117893"/>
        <bgColor rgb="FF333399"/>
      </patternFill>
    </fill>
    <fill>
      <patternFill patternType="solid">
        <fgColor theme="6" tint="-0.249977111117893"/>
        <bgColor rgb="FFE2EFDA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CE4D6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 style="thin">
        <color rgb="FFB0B0B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167" fontId="3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9" fontId="3" fillId="0" borderId="1" xfId="0" applyNumberFormat="1" applyFont="1" applyBorder="1" applyAlignment="1">
      <alignment horizontal="right" vertical="center"/>
    </xf>
    <xf numFmtId="166" fontId="3" fillId="0" borderId="1" xfId="0" applyNumberFormat="1" applyFont="1" applyBorder="1" applyAlignment="1">
      <alignment horizontal="right" vertical="center"/>
    </xf>
    <xf numFmtId="0" fontId="9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2" fillId="4" borderId="1" xfId="0" applyFont="1" applyFill="1" applyBorder="1"/>
    <xf numFmtId="0" fontId="12" fillId="0" borderId="0" xfId="0" applyFont="1"/>
    <xf numFmtId="0" fontId="0" fillId="6" borderId="0" xfId="0" applyFill="1"/>
    <xf numFmtId="0" fontId="1" fillId="3" borderId="1" xfId="0" applyFont="1" applyFill="1" applyBorder="1" applyAlignment="1">
      <alignment horizontal="center" vertical="center" wrapText="1"/>
    </xf>
    <xf numFmtId="0" fontId="0" fillId="7" borderId="0" xfId="0" applyFill="1"/>
    <xf numFmtId="0" fontId="0" fillId="8" borderId="0" xfId="0" applyFill="1"/>
    <xf numFmtId="0" fontId="3" fillId="11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left" vertical="center"/>
    </xf>
    <xf numFmtId="167" fontId="3" fillId="11" borderId="1" xfId="0" applyNumberFormat="1" applyFont="1" applyFill="1" applyBorder="1" applyAlignment="1">
      <alignment horizontal="right" vertical="center"/>
    </xf>
    <xf numFmtId="0" fontId="3" fillId="13" borderId="1" xfId="0" applyFont="1" applyFill="1" applyBorder="1" applyAlignment="1">
      <alignment horizontal="left" vertical="center"/>
    </xf>
    <xf numFmtId="0" fontId="7" fillId="13" borderId="1" xfId="0" applyFont="1" applyFill="1" applyBorder="1" applyAlignment="1">
      <alignment horizontal="left" vertical="center"/>
    </xf>
    <xf numFmtId="167" fontId="3" fillId="13" borderId="1" xfId="0" applyNumberFormat="1" applyFont="1" applyFill="1" applyBorder="1" applyAlignment="1">
      <alignment horizontal="right" vertical="center"/>
    </xf>
    <xf numFmtId="0" fontId="3" fillId="16" borderId="1" xfId="0" applyFont="1" applyFill="1" applyBorder="1" applyAlignment="1">
      <alignment horizontal="left" vertical="center"/>
    </xf>
    <xf numFmtId="0" fontId="7" fillId="16" borderId="1" xfId="0" applyFont="1" applyFill="1" applyBorder="1" applyAlignment="1">
      <alignment horizontal="left" vertical="center"/>
    </xf>
    <xf numFmtId="167" fontId="3" fillId="16" borderId="1" xfId="0" applyNumberFormat="1" applyFont="1" applyFill="1" applyBorder="1" applyAlignment="1">
      <alignment horizontal="right" vertical="center"/>
    </xf>
    <xf numFmtId="0" fontId="3" fillId="16" borderId="1" xfId="0" applyFont="1" applyFill="1" applyBorder="1"/>
    <xf numFmtId="166" fontId="13" fillId="17" borderId="1" xfId="0" applyNumberFormat="1" applyFont="1" applyFill="1" applyBorder="1" applyAlignment="1">
      <alignment horizontal="right" vertical="center"/>
    </xf>
    <xf numFmtId="164" fontId="13" fillId="17" borderId="1" xfId="0" applyNumberFormat="1" applyFont="1" applyFill="1" applyBorder="1" applyAlignment="1">
      <alignment horizontal="right" vertical="center"/>
    </xf>
    <xf numFmtId="165" fontId="13" fillId="17" borderId="1" xfId="0" applyNumberFormat="1" applyFont="1" applyFill="1" applyBorder="1" applyAlignment="1">
      <alignment horizontal="right" vertical="center"/>
    </xf>
    <xf numFmtId="167" fontId="13" fillId="17" borderId="1" xfId="0" applyNumberFormat="1" applyFont="1" applyFill="1" applyBorder="1" applyAlignment="1">
      <alignment horizontal="right" vertical="center"/>
    </xf>
    <xf numFmtId="0" fontId="14" fillId="15" borderId="1" xfId="0" applyFont="1" applyFill="1" applyBorder="1" applyAlignment="1">
      <alignment horizontal="left" vertical="center"/>
    </xf>
    <xf numFmtId="0" fontId="15" fillId="15" borderId="1" xfId="0" applyFont="1" applyFill="1" applyBorder="1" applyAlignment="1">
      <alignment horizontal="left" vertical="center"/>
    </xf>
    <xf numFmtId="167" fontId="14" fillId="15" borderId="1" xfId="0" applyNumberFormat="1" applyFont="1" applyFill="1" applyBorder="1" applyAlignment="1">
      <alignment horizontal="right" vertical="center"/>
    </xf>
    <xf numFmtId="0" fontId="0" fillId="0" borderId="2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  <xf numFmtId="0" fontId="1" fillId="14" borderId="1" xfId="0" applyFont="1" applyFill="1" applyBorder="1" applyAlignment="1">
      <alignment horizontal="left" vertical="center"/>
    </xf>
    <xf numFmtId="0" fontId="8" fillId="18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168" fontId="11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7F3F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24A23"/>
      <color rgb="FF0B3D2E"/>
      <color rgb="FF00F26D"/>
      <color rgb="FF249447"/>
      <color rgb="FF1F38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71"/>
  <sheetViews>
    <sheetView tabSelected="1" zoomScale="110" zoomScaleNormal="100" workbookViewId="0">
      <pane xSplit="2" topLeftCell="C1" activePane="topRight" state="frozen"/>
      <selection activeCell="A36" sqref="A36"/>
      <selection pane="topRight" sqref="A1:I1"/>
    </sheetView>
  </sheetViews>
  <sheetFormatPr defaultColWidth="32.140625" defaultRowHeight="15" x14ac:dyDescent="0.25"/>
  <cols>
    <col min="1" max="1" width="40.42578125" bestFit="1" customWidth="1"/>
    <col min="2" max="2" width="38" bestFit="1" customWidth="1"/>
    <col min="3" max="3" width="14.140625" bestFit="1" customWidth="1"/>
    <col min="4" max="4" width="16.5703125" bestFit="1" customWidth="1"/>
    <col min="5" max="7" width="12.85546875" bestFit="1" customWidth="1"/>
    <col min="8" max="8" width="14" bestFit="1" customWidth="1"/>
    <col min="9" max="9" width="14.140625" bestFit="1" customWidth="1"/>
  </cols>
  <sheetData>
    <row r="1" spans="1:42" ht="82.5" customHeight="1" x14ac:dyDescent="0.25">
      <c r="A1" s="35"/>
      <c r="B1" s="35"/>
      <c r="C1" s="35"/>
      <c r="D1" s="35"/>
      <c r="E1" s="35"/>
      <c r="F1" s="35"/>
      <c r="G1" s="35"/>
      <c r="H1" s="35"/>
      <c r="I1" s="35"/>
    </row>
    <row r="2" spans="1:42" x14ac:dyDescent="0.25">
      <c r="A2" s="36" t="s">
        <v>0</v>
      </c>
      <c r="B2" s="36"/>
      <c r="C2" s="36"/>
      <c r="D2" s="36"/>
      <c r="E2" s="36"/>
      <c r="F2" s="36"/>
      <c r="G2" s="36"/>
      <c r="H2" s="36"/>
      <c r="I2" s="36"/>
    </row>
    <row r="3" spans="1:42" x14ac:dyDescent="0.25">
      <c r="A3" s="37" t="s">
        <v>138</v>
      </c>
      <c r="B3" s="37"/>
      <c r="C3" s="37"/>
      <c r="D3" s="37"/>
      <c r="E3" s="37"/>
      <c r="F3" s="37"/>
      <c r="G3" s="37"/>
      <c r="H3" s="37"/>
      <c r="I3" s="37"/>
    </row>
    <row r="5" spans="1:42" s="14" customFormat="1" x14ac:dyDescent="0.25">
      <c r="A5" s="38" t="s">
        <v>1</v>
      </c>
      <c r="B5" s="38"/>
      <c r="C5" s="38"/>
      <c r="D5" s="38"/>
      <c r="E5" s="38"/>
      <c r="F5" s="38"/>
      <c r="G5" s="38"/>
      <c r="H5" s="38"/>
      <c r="I5" s="38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</row>
    <row r="6" spans="1:42" s="16" customFormat="1" x14ac:dyDescent="0.25">
      <c r="A6" s="15" t="s">
        <v>2</v>
      </c>
      <c r="B6" s="15" t="s">
        <v>3</v>
      </c>
      <c r="C6" s="15" t="s">
        <v>4</v>
      </c>
      <c r="D6" s="15" t="s">
        <v>5</v>
      </c>
      <c r="E6" s="15"/>
      <c r="F6" s="15"/>
      <c r="G6" s="15"/>
      <c r="H6" s="15"/>
      <c r="I6" s="15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</row>
    <row r="7" spans="1:42" x14ac:dyDescent="0.25">
      <c r="A7" s="39" t="s">
        <v>6</v>
      </c>
      <c r="B7" s="39"/>
      <c r="C7" s="39"/>
      <c r="D7" s="39"/>
      <c r="E7" s="39"/>
      <c r="F7" s="39"/>
      <c r="G7" s="39"/>
      <c r="H7" s="39"/>
      <c r="I7" s="39"/>
    </row>
    <row r="8" spans="1:42" x14ac:dyDescent="0.25">
      <c r="A8" s="2" t="s">
        <v>7</v>
      </c>
      <c r="B8" s="3" t="s">
        <v>8</v>
      </c>
      <c r="C8" s="29">
        <v>10000</v>
      </c>
      <c r="D8" s="40" t="s">
        <v>9</v>
      </c>
      <c r="E8" s="40"/>
      <c r="F8" s="40"/>
      <c r="G8" s="40"/>
      <c r="H8" s="40"/>
      <c r="I8" s="40"/>
    </row>
    <row r="9" spans="1:42" x14ac:dyDescent="0.25">
      <c r="A9" s="2" t="s">
        <v>10</v>
      </c>
      <c r="B9" s="3" t="s">
        <v>11</v>
      </c>
      <c r="C9" s="29">
        <v>500</v>
      </c>
      <c r="D9" s="40" t="s">
        <v>12</v>
      </c>
      <c r="E9" s="40"/>
      <c r="F9" s="40"/>
      <c r="G9" s="40"/>
      <c r="H9" s="40"/>
      <c r="I9" s="40"/>
    </row>
    <row r="10" spans="1:42" x14ac:dyDescent="0.25">
      <c r="A10" s="2" t="s">
        <v>13</v>
      </c>
      <c r="B10" s="3" t="s">
        <v>14</v>
      </c>
      <c r="C10" s="30">
        <v>2.47105</v>
      </c>
      <c r="D10" s="40" t="s">
        <v>15</v>
      </c>
      <c r="E10" s="40"/>
      <c r="F10" s="40"/>
      <c r="G10" s="40"/>
      <c r="H10" s="40"/>
      <c r="I10" s="40"/>
    </row>
    <row r="11" spans="1:42" x14ac:dyDescent="0.25">
      <c r="A11" s="2" t="s">
        <v>16</v>
      </c>
      <c r="B11" s="3" t="s">
        <v>17</v>
      </c>
      <c r="C11" s="4">
        <f>C8/C9</f>
        <v>20</v>
      </c>
      <c r="D11" s="41" t="s">
        <v>18</v>
      </c>
      <c r="E11" s="41"/>
      <c r="F11" s="41"/>
      <c r="G11" s="41"/>
      <c r="H11" s="41"/>
      <c r="I11" s="41"/>
    </row>
    <row r="12" spans="1:42" x14ac:dyDescent="0.25">
      <c r="A12" s="2" t="s">
        <v>19</v>
      </c>
      <c r="B12" s="3" t="s">
        <v>20</v>
      </c>
      <c r="C12" s="4">
        <f>C9*C10</f>
        <v>1235.5250000000001</v>
      </c>
      <c r="D12" s="41" t="s">
        <v>21</v>
      </c>
      <c r="E12" s="41"/>
      <c r="F12" s="41"/>
      <c r="G12" s="41"/>
      <c r="H12" s="41"/>
      <c r="I12" s="41"/>
    </row>
    <row r="13" spans="1:42" x14ac:dyDescent="0.25">
      <c r="A13" s="39" t="s">
        <v>22</v>
      </c>
      <c r="B13" s="39"/>
      <c r="C13" s="39"/>
      <c r="D13" s="39"/>
      <c r="E13" s="39"/>
      <c r="F13" s="39"/>
      <c r="G13" s="39"/>
      <c r="H13" s="39"/>
      <c r="I13" s="39"/>
    </row>
    <row r="14" spans="1:42" x14ac:dyDescent="0.25">
      <c r="A14" s="2" t="s">
        <v>23</v>
      </c>
      <c r="B14" s="3" t="s">
        <v>24</v>
      </c>
      <c r="C14" s="29">
        <v>0.2</v>
      </c>
      <c r="D14" s="40" t="s">
        <v>25</v>
      </c>
      <c r="E14" s="40"/>
      <c r="F14" s="40"/>
      <c r="G14" s="40"/>
      <c r="H14" s="40"/>
      <c r="I14" s="40"/>
    </row>
    <row r="15" spans="1:42" x14ac:dyDescent="0.25">
      <c r="A15" s="2" t="s">
        <v>26</v>
      </c>
      <c r="B15" s="3" t="s">
        <v>27</v>
      </c>
      <c r="C15" s="4">
        <f>C8*C14</f>
        <v>2000</v>
      </c>
      <c r="D15" s="41" t="s">
        <v>28</v>
      </c>
      <c r="E15" s="41"/>
      <c r="F15" s="41"/>
      <c r="G15" s="41"/>
      <c r="H15" s="41"/>
      <c r="I15" s="41"/>
    </row>
    <row r="16" spans="1:42" x14ac:dyDescent="0.25">
      <c r="A16" s="2" t="s">
        <v>29</v>
      </c>
      <c r="B16" s="3" t="s">
        <v>30</v>
      </c>
      <c r="C16" s="28">
        <v>0.35</v>
      </c>
      <c r="D16" s="40" t="s">
        <v>31</v>
      </c>
      <c r="E16" s="40"/>
      <c r="F16" s="40"/>
      <c r="G16" s="40"/>
      <c r="H16" s="40"/>
      <c r="I16" s="40"/>
    </row>
    <row r="17" spans="1:9" x14ac:dyDescent="0.25">
      <c r="A17" s="2" t="s">
        <v>32</v>
      </c>
      <c r="B17" s="3" t="s">
        <v>27</v>
      </c>
      <c r="C17" s="4">
        <f>C15*(1-C16)</f>
        <v>1300</v>
      </c>
      <c r="D17" s="41" t="s">
        <v>33</v>
      </c>
      <c r="E17" s="41"/>
      <c r="F17" s="41"/>
      <c r="G17" s="41"/>
      <c r="H17" s="41"/>
      <c r="I17" s="41"/>
    </row>
    <row r="18" spans="1:9" x14ac:dyDescent="0.25">
      <c r="A18" s="2" t="s">
        <v>34</v>
      </c>
      <c r="B18" s="3" t="s">
        <v>35</v>
      </c>
      <c r="C18" s="28">
        <v>0.85</v>
      </c>
      <c r="D18" s="40" t="s">
        <v>36</v>
      </c>
      <c r="E18" s="40"/>
      <c r="F18" s="40"/>
      <c r="G18" s="40"/>
      <c r="H18" s="40"/>
      <c r="I18" s="40"/>
    </row>
    <row r="19" spans="1:9" x14ac:dyDescent="0.25">
      <c r="A19" s="2" t="s">
        <v>37</v>
      </c>
      <c r="B19" s="3" t="s">
        <v>27</v>
      </c>
      <c r="C19" s="4">
        <f>C17*C18</f>
        <v>1105</v>
      </c>
      <c r="D19" s="41" t="s">
        <v>38</v>
      </c>
      <c r="E19" s="41"/>
      <c r="F19" s="41"/>
      <c r="G19" s="41"/>
      <c r="H19" s="41"/>
      <c r="I19" s="41"/>
    </row>
    <row r="20" spans="1:9" x14ac:dyDescent="0.25">
      <c r="A20" s="2" t="s">
        <v>39</v>
      </c>
      <c r="B20" s="3" t="s">
        <v>40</v>
      </c>
      <c r="C20" s="29">
        <v>300</v>
      </c>
      <c r="D20" s="40" t="s">
        <v>41</v>
      </c>
      <c r="E20" s="40"/>
      <c r="F20" s="40"/>
      <c r="G20" s="40"/>
      <c r="H20" s="40"/>
      <c r="I20" s="40"/>
    </row>
    <row r="21" spans="1:9" x14ac:dyDescent="0.25">
      <c r="A21" s="2" t="s">
        <v>42</v>
      </c>
      <c r="B21" s="3" t="s">
        <v>43</v>
      </c>
      <c r="C21" s="31">
        <v>90</v>
      </c>
      <c r="D21" s="40" t="s">
        <v>44</v>
      </c>
      <c r="E21" s="40"/>
      <c r="F21" s="40"/>
      <c r="G21" s="40"/>
      <c r="H21" s="40"/>
      <c r="I21" s="40"/>
    </row>
    <row r="22" spans="1:9" x14ac:dyDescent="0.25">
      <c r="A22" s="2" t="s">
        <v>39</v>
      </c>
      <c r="B22" s="3" t="s">
        <v>45</v>
      </c>
      <c r="C22" s="5">
        <f>C20*C21</f>
        <v>27000</v>
      </c>
      <c r="D22" s="41" t="s">
        <v>46</v>
      </c>
      <c r="E22" s="41"/>
      <c r="F22" s="41"/>
      <c r="G22" s="41"/>
      <c r="H22" s="41"/>
      <c r="I22" s="41"/>
    </row>
    <row r="23" spans="1:9" x14ac:dyDescent="0.25">
      <c r="A23" s="39" t="s">
        <v>47</v>
      </c>
      <c r="B23" s="39"/>
      <c r="C23" s="39"/>
      <c r="D23" s="39"/>
      <c r="E23" s="39"/>
      <c r="F23" s="39"/>
      <c r="G23" s="39"/>
      <c r="H23" s="39"/>
      <c r="I23" s="39"/>
    </row>
    <row r="24" spans="1:9" x14ac:dyDescent="0.25">
      <c r="A24" s="2" t="s">
        <v>48</v>
      </c>
      <c r="B24" s="3" t="s">
        <v>49</v>
      </c>
      <c r="C24" s="31">
        <v>915</v>
      </c>
      <c r="D24" s="40" t="s">
        <v>50</v>
      </c>
      <c r="E24" s="40"/>
      <c r="F24" s="40"/>
      <c r="G24" s="40"/>
      <c r="H24" s="40"/>
      <c r="I24" s="40"/>
    </row>
    <row r="25" spans="1:9" x14ac:dyDescent="0.25">
      <c r="A25" s="2" t="s">
        <v>51</v>
      </c>
      <c r="B25" s="3" t="s">
        <v>49</v>
      </c>
      <c r="C25" s="31">
        <v>350</v>
      </c>
      <c r="D25" s="40" t="s">
        <v>52</v>
      </c>
      <c r="E25" s="40"/>
      <c r="F25" s="40"/>
      <c r="G25" s="40"/>
      <c r="H25" s="40"/>
      <c r="I25" s="40"/>
    </row>
    <row r="26" spans="1:9" x14ac:dyDescent="0.25">
      <c r="A26" s="2" t="s">
        <v>53</v>
      </c>
      <c r="B26" s="3" t="s">
        <v>54</v>
      </c>
      <c r="C26" s="31">
        <v>250</v>
      </c>
      <c r="D26" s="40" t="s">
        <v>55</v>
      </c>
      <c r="E26" s="40"/>
      <c r="F26" s="40"/>
      <c r="G26" s="40"/>
      <c r="H26" s="40"/>
      <c r="I26" s="40"/>
    </row>
    <row r="27" spans="1:9" x14ac:dyDescent="0.25">
      <c r="A27" s="2" t="s">
        <v>56</v>
      </c>
      <c r="B27" s="3" t="s">
        <v>57</v>
      </c>
      <c r="C27" s="31">
        <v>5000</v>
      </c>
      <c r="D27" s="40" t="s">
        <v>58</v>
      </c>
      <c r="E27" s="40"/>
      <c r="F27" s="40"/>
      <c r="G27" s="40"/>
      <c r="H27" s="40"/>
      <c r="I27" s="40"/>
    </row>
    <row r="28" spans="1:9" x14ac:dyDescent="0.25">
      <c r="A28" s="2" t="s">
        <v>59</v>
      </c>
      <c r="B28" s="3" t="s">
        <v>57</v>
      </c>
      <c r="C28" s="31">
        <v>3000</v>
      </c>
      <c r="D28" s="40" t="s">
        <v>60</v>
      </c>
      <c r="E28" s="40"/>
      <c r="F28" s="40"/>
      <c r="G28" s="40"/>
      <c r="H28" s="40"/>
      <c r="I28" s="40"/>
    </row>
    <row r="29" spans="1:9" x14ac:dyDescent="0.25">
      <c r="A29" s="2" t="s">
        <v>61</v>
      </c>
      <c r="B29" s="3" t="s">
        <v>62</v>
      </c>
      <c r="C29" s="29">
        <v>1</v>
      </c>
      <c r="D29" s="40" t="s">
        <v>63</v>
      </c>
      <c r="E29" s="40"/>
      <c r="F29" s="40"/>
      <c r="G29" s="40"/>
      <c r="H29" s="40"/>
      <c r="I29" s="40"/>
    </row>
    <row r="30" spans="1:9" x14ac:dyDescent="0.25">
      <c r="A30" s="2" t="s">
        <v>64</v>
      </c>
      <c r="B30" s="3" t="s">
        <v>65</v>
      </c>
      <c r="C30" s="31">
        <v>150000</v>
      </c>
      <c r="D30" s="40" t="s">
        <v>66</v>
      </c>
      <c r="E30" s="40"/>
      <c r="F30" s="40"/>
      <c r="G30" s="40"/>
      <c r="H30" s="40"/>
      <c r="I30" s="40"/>
    </row>
    <row r="31" spans="1:9" x14ac:dyDescent="0.25">
      <c r="A31" s="2" t="s">
        <v>67</v>
      </c>
      <c r="B31" s="3" t="s">
        <v>68</v>
      </c>
      <c r="C31" s="31">
        <v>800000</v>
      </c>
      <c r="D31" s="40" t="s">
        <v>69</v>
      </c>
      <c r="E31" s="40"/>
      <c r="F31" s="40"/>
      <c r="G31" s="40"/>
      <c r="H31" s="40"/>
      <c r="I31" s="40"/>
    </row>
    <row r="32" spans="1:9" x14ac:dyDescent="0.25">
      <c r="A32" s="2" t="s">
        <v>70</v>
      </c>
      <c r="B32" s="3" t="s">
        <v>65</v>
      </c>
      <c r="C32" s="31">
        <v>1800000</v>
      </c>
      <c r="D32" s="40" t="s">
        <v>71</v>
      </c>
      <c r="E32" s="40"/>
      <c r="F32" s="40"/>
      <c r="G32" s="40"/>
      <c r="H32" s="40"/>
      <c r="I32" s="40"/>
    </row>
    <row r="33" spans="1:9" x14ac:dyDescent="0.25">
      <c r="A33" s="2" t="s">
        <v>72</v>
      </c>
      <c r="B33" s="3" t="s">
        <v>73</v>
      </c>
      <c r="C33" s="28">
        <v>0.09</v>
      </c>
      <c r="D33" s="40" t="s">
        <v>74</v>
      </c>
      <c r="E33" s="40"/>
      <c r="F33" s="40"/>
      <c r="G33" s="40"/>
      <c r="H33" s="40"/>
      <c r="I33" s="40"/>
    </row>
    <row r="35" spans="1:9" x14ac:dyDescent="0.25">
      <c r="A35" s="38" t="s">
        <v>75</v>
      </c>
      <c r="B35" s="38"/>
      <c r="C35" s="38"/>
      <c r="D35" s="38"/>
      <c r="E35" s="38"/>
      <c r="F35" s="38"/>
      <c r="G35" s="38"/>
      <c r="H35" s="38"/>
      <c r="I35" s="38"/>
    </row>
    <row r="36" spans="1:9" ht="30" x14ac:dyDescent="0.25">
      <c r="A36" s="15" t="s">
        <v>76</v>
      </c>
      <c r="B36" s="15" t="s">
        <v>77</v>
      </c>
      <c r="C36" s="15" t="s">
        <v>78</v>
      </c>
      <c r="D36" s="15" t="s">
        <v>79</v>
      </c>
      <c r="E36" s="15" t="s">
        <v>80</v>
      </c>
      <c r="F36" s="15" t="s">
        <v>81</v>
      </c>
      <c r="G36" s="15" t="s">
        <v>82</v>
      </c>
      <c r="H36" s="15" t="s">
        <v>83</v>
      </c>
      <c r="I36" s="15" t="s">
        <v>84</v>
      </c>
    </row>
    <row r="37" spans="1:9" x14ac:dyDescent="0.25">
      <c r="A37" s="42" t="s">
        <v>85</v>
      </c>
      <c r="B37" s="42"/>
      <c r="C37" s="42"/>
      <c r="D37" s="42"/>
      <c r="E37" s="42"/>
      <c r="F37" s="42"/>
      <c r="G37" s="42"/>
      <c r="H37" s="42"/>
      <c r="I37" s="42"/>
    </row>
    <row r="38" spans="1:9" x14ac:dyDescent="0.25">
      <c r="A38" s="2" t="s">
        <v>86</v>
      </c>
      <c r="B38" s="1" t="s">
        <v>87</v>
      </c>
      <c r="C38" s="5">
        <v>0</v>
      </c>
      <c r="D38" s="5">
        <f>$C$19*$C$22</f>
        <v>29835000</v>
      </c>
      <c r="E38" s="5">
        <f>$C$19*$C$22</f>
        <v>29835000</v>
      </c>
      <c r="F38" s="5">
        <f>$C$19*$C$22</f>
        <v>29835000</v>
      </c>
      <c r="G38" s="5">
        <f>$C$19*$C$22</f>
        <v>29835000</v>
      </c>
      <c r="H38" s="5">
        <f>$C$19*$C$22</f>
        <v>29835000</v>
      </c>
      <c r="I38" s="6">
        <f>SUM(C38:H38)</f>
        <v>149175000</v>
      </c>
    </row>
    <row r="39" spans="1:9" x14ac:dyDescent="0.25">
      <c r="A39" s="2" t="s">
        <v>88</v>
      </c>
      <c r="B39" s="1" t="s">
        <v>89</v>
      </c>
      <c r="C39" s="5">
        <v>0</v>
      </c>
      <c r="D39" s="5">
        <f>-D38*$C$33</f>
        <v>-2685150</v>
      </c>
      <c r="E39" s="5">
        <f>-E38*$C$33</f>
        <v>-2685150</v>
      </c>
      <c r="F39" s="5">
        <f>-F38*$C$33</f>
        <v>-2685150</v>
      </c>
      <c r="G39" s="5">
        <f>-G38*$C$33</f>
        <v>-2685150</v>
      </c>
      <c r="H39" s="5">
        <f>-H38*$C$33</f>
        <v>-2685150</v>
      </c>
      <c r="I39" s="6">
        <f>SUM(C39:H39)</f>
        <v>-13425750</v>
      </c>
    </row>
    <row r="40" spans="1:9" x14ac:dyDescent="0.25">
      <c r="A40" s="18" t="s">
        <v>90</v>
      </c>
      <c r="B40" s="19" t="s">
        <v>91</v>
      </c>
      <c r="C40" s="20">
        <f t="shared" ref="C40:H40" si="0">C38+C39</f>
        <v>0</v>
      </c>
      <c r="D40" s="20">
        <f t="shared" si="0"/>
        <v>27149850</v>
      </c>
      <c r="E40" s="20">
        <f t="shared" si="0"/>
        <v>27149850</v>
      </c>
      <c r="F40" s="20">
        <f t="shared" si="0"/>
        <v>27149850</v>
      </c>
      <c r="G40" s="20">
        <f t="shared" si="0"/>
        <v>27149850</v>
      </c>
      <c r="H40" s="20">
        <f t="shared" si="0"/>
        <v>27149850</v>
      </c>
      <c r="I40" s="20">
        <f>SUM(C40:H40)</f>
        <v>135749250</v>
      </c>
    </row>
    <row r="41" spans="1:9" x14ac:dyDescent="0.25">
      <c r="A41" s="43" t="s">
        <v>92</v>
      </c>
      <c r="B41" s="43"/>
      <c r="C41" s="43"/>
      <c r="D41" s="43"/>
      <c r="E41" s="43"/>
      <c r="F41" s="43"/>
      <c r="G41" s="43"/>
      <c r="H41" s="43"/>
      <c r="I41" s="43"/>
    </row>
    <row r="42" spans="1:9" x14ac:dyDescent="0.25">
      <c r="A42" s="2" t="s">
        <v>93</v>
      </c>
      <c r="B42" s="1" t="s">
        <v>94</v>
      </c>
      <c r="C42" s="5">
        <f>$C$8*$C$24</f>
        <v>9150000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6">
        <f t="shared" ref="I42:I49" si="1">SUM(C42:H42)</f>
        <v>9150000</v>
      </c>
    </row>
    <row r="43" spans="1:9" x14ac:dyDescent="0.25">
      <c r="A43" s="2" t="s">
        <v>51</v>
      </c>
      <c r="B43" s="1" t="s">
        <v>95</v>
      </c>
      <c r="C43" s="5">
        <f>$C$8*$C$25</f>
        <v>3500000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6">
        <f t="shared" si="1"/>
        <v>3500000</v>
      </c>
    </row>
    <row r="44" spans="1:9" x14ac:dyDescent="0.25">
      <c r="A44" s="2" t="s">
        <v>96</v>
      </c>
      <c r="B44" s="1" t="s">
        <v>97</v>
      </c>
      <c r="C44" s="5">
        <f>$C$12*$C$26</f>
        <v>308881.25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6">
        <f t="shared" si="1"/>
        <v>308881.25</v>
      </c>
    </row>
    <row r="45" spans="1:9" x14ac:dyDescent="0.25">
      <c r="A45" s="2" t="s">
        <v>98</v>
      </c>
      <c r="B45" s="1" t="s">
        <v>99</v>
      </c>
      <c r="C45" s="5">
        <f t="shared" ref="C45:H45" si="2">$C$12*$C$29*($C$27+$C$28)</f>
        <v>9884200</v>
      </c>
      <c r="D45" s="5">
        <f t="shared" si="2"/>
        <v>9884200</v>
      </c>
      <c r="E45" s="5">
        <f t="shared" si="2"/>
        <v>9884200</v>
      </c>
      <c r="F45" s="5">
        <f t="shared" si="2"/>
        <v>9884200</v>
      </c>
      <c r="G45" s="5">
        <f t="shared" si="2"/>
        <v>9884200</v>
      </c>
      <c r="H45" s="5">
        <f t="shared" si="2"/>
        <v>9884200</v>
      </c>
      <c r="I45" s="6">
        <f t="shared" si="1"/>
        <v>59305200</v>
      </c>
    </row>
    <row r="46" spans="1:9" x14ac:dyDescent="0.25">
      <c r="A46" s="2" t="s">
        <v>100</v>
      </c>
      <c r="B46" s="1" t="s">
        <v>101</v>
      </c>
      <c r="C46" s="5">
        <v>0</v>
      </c>
      <c r="D46" s="5">
        <f>$C$30</f>
        <v>150000</v>
      </c>
      <c r="E46" s="5">
        <f>$C$30</f>
        <v>150000</v>
      </c>
      <c r="F46" s="5">
        <f>$C$30</f>
        <v>150000</v>
      </c>
      <c r="G46" s="5">
        <f>$C$30</f>
        <v>150000</v>
      </c>
      <c r="H46" s="5">
        <f>$C$30</f>
        <v>150000</v>
      </c>
      <c r="I46" s="6">
        <f t="shared" si="1"/>
        <v>750000</v>
      </c>
    </row>
    <row r="47" spans="1:9" x14ac:dyDescent="0.25">
      <c r="A47" s="2" t="s">
        <v>67</v>
      </c>
      <c r="B47" s="1" t="s">
        <v>102</v>
      </c>
      <c r="C47" s="5">
        <v>0</v>
      </c>
      <c r="D47" s="5">
        <f>$C$31</f>
        <v>800000</v>
      </c>
      <c r="E47" s="5">
        <v>0</v>
      </c>
      <c r="F47" s="5">
        <f>$C$31</f>
        <v>800000</v>
      </c>
      <c r="G47" s="5">
        <v>0</v>
      </c>
      <c r="H47" s="5">
        <f>$C$31</f>
        <v>800000</v>
      </c>
      <c r="I47" s="6">
        <f t="shared" si="1"/>
        <v>2400000</v>
      </c>
    </row>
    <row r="48" spans="1:9" x14ac:dyDescent="0.25">
      <c r="A48" s="2" t="s">
        <v>70</v>
      </c>
      <c r="B48" s="1" t="s">
        <v>103</v>
      </c>
      <c r="C48" s="5">
        <f t="shared" ref="C48:H48" si="3">$C$32</f>
        <v>1800000</v>
      </c>
      <c r="D48" s="5">
        <f t="shared" si="3"/>
        <v>1800000</v>
      </c>
      <c r="E48" s="5">
        <f t="shared" si="3"/>
        <v>1800000</v>
      </c>
      <c r="F48" s="5">
        <f t="shared" si="3"/>
        <v>1800000</v>
      </c>
      <c r="G48" s="5">
        <f t="shared" si="3"/>
        <v>1800000</v>
      </c>
      <c r="H48" s="5">
        <f t="shared" si="3"/>
        <v>1800000</v>
      </c>
      <c r="I48" s="6">
        <f t="shared" si="1"/>
        <v>10800000</v>
      </c>
    </row>
    <row r="49" spans="1:9" x14ac:dyDescent="0.25">
      <c r="A49" s="21" t="s">
        <v>104</v>
      </c>
      <c r="B49" s="22" t="s">
        <v>105</v>
      </c>
      <c r="C49" s="23">
        <f t="shared" ref="C49:H49" si="4">SUM(C42:C48)</f>
        <v>24643081.25</v>
      </c>
      <c r="D49" s="23">
        <f t="shared" si="4"/>
        <v>12634200</v>
      </c>
      <c r="E49" s="23">
        <f t="shared" si="4"/>
        <v>11834200</v>
      </c>
      <c r="F49" s="23">
        <f t="shared" si="4"/>
        <v>12634200</v>
      </c>
      <c r="G49" s="23">
        <f t="shared" si="4"/>
        <v>11834200</v>
      </c>
      <c r="H49" s="23">
        <f t="shared" si="4"/>
        <v>12634200</v>
      </c>
      <c r="I49" s="23">
        <f t="shared" si="1"/>
        <v>86214081.25</v>
      </c>
    </row>
    <row r="51" spans="1:9" x14ac:dyDescent="0.25">
      <c r="A51" s="32" t="s">
        <v>106</v>
      </c>
      <c r="B51" s="33" t="s">
        <v>107</v>
      </c>
      <c r="C51" s="34">
        <f t="shared" ref="C51:H51" si="5">C40-C49</f>
        <v>-24643081.25</v>
      </c>
      <c r="D51" s="34">
        <f t="shared" si="5"/>
        <v>14515650</v>
      </c>
      <c r="E51" s="34">
        <f t="shared" si="5"/>
        <v>15315650</v>
      </c>
      <c r="F51" s="34">
        <f t="shared" si="5"/>
        <v>14515650</v>
      </c>
      <c r="G51" s="34">
        <f t="shared" si="5"/>
        <v>15315650</v>
      </c>
      <c r="H51" s="34">
        <f t="shared" si="5"/>
        <v>14515650</v>
      </c>
      <c r="I51" s="34">
        <f>SUM(C51:H51)</f>
        <v>49535168.75</v>
      </c>
    </row>
    <row r="52" spans="1:9" x14ac:dyDescent="0.25">
      <c r="A52" s="24" t="s">
        <v>108</v>
      </c>
      <c r="B52" s="25" t="s">
        <v>109</v>
      </c>
      <c r="C52" s="26">
        <f>C51</f>
        <v>-24643081.25</v>
      </c>
      <c r="D52" s="26">
        <f>C52+D51</f>
        <v>-10127431.25</v>
      </c>
      <c r="E52" s="26">
        <f>D52+E51</f>
        <v>5188218.75</v>
      </c>
      <c r="F52" s="26">
        <f>E52+F51</f>
        <v>19703868.75</v>
      </c>
      <c r="G52" s="26">
        <f>F52+G51</f>
        <v>35019518.75</v>
      </c>
      <c r="H52" s="26">
        <f>G52+H51</f>
        <v>49535168.75</v>
      </c>
      <c r="I52" s="27"/>
    </row>
    <row r="54" spans="1:9" x14ac:dyDescent="0.25">
      <c r="A54" s="44" t="s">
        <v>110</v>
      </c>
      <c r="B54" s="44"/>
      <c r="C54" s="44"/>
      <c r="D54" s="44"/>
      <c r="E54" s="44"/>
      <c r="F54" s="44"/>
      <c r="G54" s="44"/>
      <c r="H54" s="44"/>
      <c r="I54" s="44"/>
    </row>
    <row r="55" spans="1:9" x14ac:dyDescent="0.25">
      <c r="A55" s="2" t="s">
        <v>111</v>
      </c>
      <c r="B55" s="3" t="s">
        <v>112</v>
      </c>
      <c r="C55" s="5">
        <f>$C$22</f>
        <v>27000</v>
      </c>
      <c r="D55" s="41" t="s">
        <v>113</v>
      </c>
      <c r="E55" s="41"/>
      <c r="F55" s="41"/>
      <c r="G55" s="41"/>
      <c r="H55" s="41"/>
      <c r="I55" s="41"/>
    </row>
    <row r="56" spans="1:9" x14ac:dyDescent="0.25">
      <c r="A56" s="2" t="s">
        <v>114</v>
      </c>
      <c r="B56" s="3" t="s">
        <v>112</v>
      </c>
      <c r="C56" s="5">
        <f>D40/$C$19</f>
        <v>24570</v>
      </c>
      <c r="D56" s="41" t="s">
        <v>115</v>
      </c>
      <c r="E56" s="41"/>
      <c r="F56" s="41"/>
      <c r="G56" s="41"/>
      <c r="H56" s="41"/>
      <c r="I56" s="41"/>
    </row>
    <row r="57" spans="1:9" x14ac:dyDescent="0.25">
      <c r="A57" s="2" t="s">
        <v>116</v>
      </c>
      <c r="B57" s="3" t="s">
        <v>112</v>
      </c>
      <c r="C57" s="5">
        <f>I49/(I40/$C$22)</f>
        <v>17147.646810203372</v>
      </c>
      <c r="D57" s="41" t="s">
        <v>117</v>
      </c>
      <c r="E57" s="41"/>
      <c r="F57" s="41"/>
      <c r="G57" s="41"/>
      <c r="H57" s="41"/>
      <c r="I57" s="41"/>
    </row>
    <row r="58" spans="1:9" x14ac:dyDescent="0.25">
      <c r="A58" s="2" t="s">
        <v>118</v>
      </c>
      <c r="B58" s="3" t="s">
        <v>112</v>
      </c>
      <c r="C58" s="5">
        <f>($C$8*($C$24+$C$25))/$C$15</f>
        <v>6325</v>
      </c>
      <c r="D58" s="41" t="s">
        <v>119</v>
      </c>
      <c r="E58" s="41"/>
      <c r="F58" s="41"/>
      <c r="G58" s="41"/>
      <c r="H58" s="41"/>
      <c r="I58" s="41"/>
    </row>
    <row r="59" spans="1:9" x14ac:dyDescent="0.25">
      <c r="A59" s="2" t="s">
        <v>120</v>
      </c>
      <c r="B59" s="3" t="s">
        <v>35</v>
      </c>
      <c r="C59" s="7">
        <f>IFERROR((D40-D49)/D38,0)</f>
        <v>0.48653092006033183</v>
      </c>
      <c r="D59" s="41" t="s">
        <v>121</v>
      </c>
      <c r="E59" s="41"/>
      <c r="F59" s="41"/>
      <c r="G59" s="41"/>
      <c r="H59" s="41"/>
      <c r="I59" s="41"/>
    </row>
    <row r="60" spans="1:9" x14ac:dyDescent="0.25">
      <c r="A60" s="2" t="s">
        <v>122</v>
      </c>
      <c r="B60" s="3" t="s">
        <v>45</v>
      </c>
      <c r="C60" s="5">
        <f>D49/($C$19*(1-$C$33))</f>
        <v>12564.467207001142</v>
      </c>
      <c r="D60" s="41" t="s">
        <v>123</v>
      </c>
      <c r="E60" s="41"/>
      <c r="F60" s="41"/>
      <c r="G60" s="41"/>
      <c r="H60" s="41"/>
      <c r="I60" s="41"/>
    </row>
    <row r="62" spans="1:9" x14ac:dyDescent="0.25">
      <c r="A62" s="46" t="s">
        <v>124</v>
      </c>
      <c r="B62" s="46"/>
      <c r="C62" s="46"/>
      <c r="D62" s="46"/>
      <c r="E62" s="46"/>
      <c r="F62" s="46"/>
      <c r="G62" s="46"/>
      <c r="H62" s="46"/>
      <c r="I62" s="46"/>
    </row>
    <row r="63" spans="1:9" s="13" customFormat="1" ht="18" x14ac:dyDescent="0.25">
      <c r="A63" s="10" t="s">
        <v>125</v>
      </c>
      <c r="B63" s="11" t="s">
        <v>126</v>
      </c>
      <c r="C63" s="47">
        <f>IRR(C51:H51)</f>
        <v>0.52904842490436987</v>
      </c>
      <c r="D63" s="47"/>
      <c r="E63" s="12"/>
      <c r="F63" s="12"/>
      <c r="G63" s="12"/>
      <c r="H63" s="12"/>
      <c r="I63" s="12"/>
    </row>
    <row r="64" spans="1:9" x14ac:dyDescent="0.25">
      <c r="A64" s="2" t="s">
        <v>127</v>
      </c>
      <c r="B64" s="3" t="s">
        <v>35</v>
      </c>
      <c r="C64" s="28">
        <v>0.12</v>
      </c>
      <c r="D64" s="40" t="s">
        <v>128</v>
      </c>
      <c r="E64" s="40"/>
      <c r="F64" s="40"/>
      <c r="G64" s="40"/>
      <c r="H64" s="40"/>
      <c r="I64" s="40"/>
    </row>
    <row r="65" spans="1:9" x14ac:dyDescent="0.25">
      <c r="A65" s="2" t="s">
        <v>129</v>
      </c>
      <c r="B65" s="3" t="s">
        <v>112</v>
      </c>
      <c r="C65" s="6">
        <f>IFERROR(C51+NPV(C64,D51:H51),0)</f>
        <v>28828757.996333942</v>
      </c>
      <c r="D65" s="41" t="s">
        <v>130</v>
      </c>
      <c r="E65" s="41"/>
      <c r="F65" s="41"/>
      <c r="G65" s="41"/>
      <c r="H65" s="41"/>
      <c r="I65" s="41"/>
    </row>
    <row r="66" spans="1:9" x14ac:dyDescent="0.25">
      <c r="A66" s="2" t="s">
        <v>131</v>
      </c>
      <c r="B66" s="3" t="s">
        <v>132</v>
      </c>
      <c r="C66" s="8">
        <f>IFERROR(IF(C52&gt;0,0,IF(D52&gt;0,1,IF(E52&gt;0,2,IF(F52&gt;0,3,IF(G52&gt;0,4,IF(H52&gt;0,5,"5+")))))),"N/A")</f>
        <v>2</v>
      </c>
      <c r="D66" s="41" t="s">
        <v>133</v>
      </c>
      <c r="E66" s="41"/>
      <c r="F66" s="41"/>
      <c r="G66" s="41"/>
      <c r="H66" s="41"/>
      <c r="I66" s="41"/>
    </row>
    <row r="67" spans="1:9" x14ac:dyDescent="0.25">
      <c r="A67" s="2" t="s">
        <v>134</v>
      </c>
      <c r="B67" s="3" t="s">
        <v>112</v>
      </c>
      <c r="C67" s="6">
        <f>I51</f>
        <v>49535168.75</v>
      </c>
      <c r="D67" s="41" t="s">
        <v>135</v>
      </c>
      <c r="E67" s="41"/>
      <c r="F67" s="41"/>
      <c r="G67" s="41"/>
      <c r="H67" s="41"/>
      <c r="I67" s="41"/>
    </row>
    <row r="68" spans="1:9" x14ac:dyDescent="0.25">
      <c r="A68" s="2" t="s">
        <v>136</v>
      </c>
      <c r="B68" s="3" t="s">
        <v>35</v>
      </c>
      <c r="C68" s="9">
        <f>IFERROR(I51/ABS(C51),0)</f>
        <v>2.0101045095568151</v>
      </c>
      <c r="D68" s="41" t="s">
        <v>137</v>
      </c>
      <c r="E68" s="41"/>
      <c r="F68" s="41"/>
      <c r="G68" s="41"/>
      <c r="H68" s="41"/>
      <c r="I68" s="41"/>
    </row>
    <row r="69" spans="1:9" ht="14.25" customHeight="1" x14ac:dyDescent="0.25"/>
    <row r="70" spans="1:9" hidden="1" x14ac:dyDescent="0.25"/>
    <row r="71" spans="1:9" x14ac:dyDescent="0.25">
      <c r="A71" s="45"/>
      <c r="B71" s="45"/>
      <c r="C71" s="45"/>
      <c r="D71" s="45"/>
      <c r="E71" s="45"/>
      <c r="F71" s="45"/>
      <c r="G71" s="45"/>
      <c r="H71" s="45"/>
      <c r="I71" s="45"/>
    </row>
  </sheetData>
  <mergeCells count="49">
    <mergeCell ref="D60:I60"/>
    <mergeCell ref="D67:I67"/>
    <mergeCell ref="D68:I68"/>
    <mergeCell ref="A71:I71"/>
    <mergeCell ref="A62:I62"/>
    <mergeCell ref="C63:D63"/>
    <mergeCell ref="D64:I64"/>
    <mergeCell ref="D65:I65"/>
    <mergeCell ref="D66:I66"/>
    <mergeCell ref="D55:I55"/>
    <mergeCell ref="D56:I56"/>
    <mergeCell ref="D57:I57"/>
    <mergeCell ref="D58:I58"/>
    <mergeCell ref="D59:I59"/>
    <mergeCell ref="D33:I33"/>
    <mergeCell ref="A35:I35"/>
    <mergeCell ref="A37:I37"/>
    <mergeCell ref="A41:I41"/>
    <mergeCell ref="A54:I54"/>
    <mergeCell ref="D28:I28"/>
    <mergeCell ref="D29:I29"/>
    <mergeCell ref="D30:I30"/>
    <mergeCell ref="D31:I31"/>
    <mergeCell ref="D32:I32"/>
    <mergeCell ref="A23:I23"/>
    <mergeCell ref="D24:I24"/>
    <mergeCell ref="D25:I25"/>
    <mergeCell ref="D26:I26"/>
    <mergeCell ref="D27:I27"/>
    <mergeCell ref="D18:I18"/>
    <mergeCell ref="D19:I19"/>
    <mergeCell ref="D20:I20"/>
    <mergeCell ref="D21:I21"/>
    <mergeCell ref="D22:I22"/>
    <mergeCell ref="A13:I13"/>
    <mergeCell ref="D14:I14"/>
    <mergeCell ref="D15:I15"/>
    <mergeCell ref="D16:I16"/>
    <mergeCell ref="D17:I17"/>
    <mergeCell ref="D8:I8"/>
    <mergeCell ref="D9:I9"/>
    <mergeCell ref="D10:I10"/>
    <mergeCell ref="D11:I11"/>
    <mergeCell ref="D12:I12"/>
    <mergeCell ref="A1:I1"/>
    <mergeCell ref="A2:I2"/>
    <mergeCell ref="A3:I3"/>
    <mergeCell ref="A5:I5"/>
    <mergeCell ref="A7:I7"/>
  </mergeCells>
  <pageMargins left="0.4" right="0.4" top="0.4" bottom="0.4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ERW Financial Model</vt:lpstr>
      <vt:lpstr>'ERW Financial Model'!Print_Area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vijay singh</cp:lastModifiedBy>
  <cp:revision>0</cp:revision>
  <dcterms:created xsi:type="dcterms:W3CDTF">2026-05-18T04:39:20Z</dcterms:created>
  <dcterms:modified xsi:type="dcterms:W3CDTF">2026-08-09T16:59:16Z</dcterms:modified>
  <dc:language>en-US</dc:language>
</cp:coreProperties>
</file>